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zhaoziwei/Desktop/新Cowork工具/docs/interview/"/>
    </mc:Choice>
  </mc:AlternateContent>
  <xr:revisionPtr revIDLastSave="0" documentId="8_{3ACF0428-905D-A141-A227-E8ABF3622DFB}" xr6:coauthVersionLast="47" xr6:coauthVersionMax="47" xr10:uidLastSave="{00000000-0000-0000-0000-000000000000}"/>
  <bookViews>
    <workbookView xWindow="0" yWindow="0" windowWidth="51200" windowHeight="28800" xr2:uid="{A6310849-8257-154F-BA26-F649620866B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 r="F36" i="1"/>
  <c r="E36" i="1"/>
  <c r="D36" i="1"/>
  <c r="F31" i="1"/>
  <c r="I12" i="1"/>
  <c r="H12" i="1"/>
  <c r="F12" i="1"/>
  <c r="E12" i="1"/>
  <c r="D12" i="1"/>
  <c r="N11" i="1"/>
  <c r="L11" i="1"/>
  <c r="J11" i="1"/>
  <c r="G11" i="1"/>
</calcChain>
</file>

<file path=xl/sharedStrings.xml><?xml version="1.0" encoding="utf-8"?>
<sst xmlns="http://schemas.openxmlformats.org/spreadsheetml/2006/main" count="150" uniqueCount="91">
  <si>
    <t>单店盈利提升方案计划</t>
  </si>
  <si>
    <t>店铺名称</t>
  </si>
  <si>
    <t>粤饺皇（佳兆业店）</t>
  </si>
  <si>
    <t>开始日期</t>
  </si>
  <si>
    <t>周期</t>
  </si>
  <si>
    <t>自然日90天</t>
  </si>
  <si>
    <t>总目标</t>
  </si>
  <si>
    <t>周期内提升到月均85000元</t>
  </si>
  <si>
    <t>一、现状分析</t>
  </si>
  <si>
    <t>经营数据</t>
  </si>
  <si>
    <t>商圈类型</t>
  </si>
  <si>
    <t>店铺模式</t>
  </si>
  <si>
    <t>门店名称</t>
  </si>
  <si>
    <t>成本项</t>
  </si>
  <si>
    <t>门店数据现状</t>
  </si>
  <si>
    <t>保本营业额</t>
  </si>
  <si>
    <t>日均保本线</t>
  </si>
  <si>
    <t>租金</t>
  </si>
  <si>
    <t>人工</t>
  </si>
  <si>
    <t>水电</t>
  </si>
  <si>
    <t>食材</t>
  </si>
  <si>
    <t>其他</t>
  </si>
  <si>
    <t>运输</t>
  </si>
  <si>
    <t>合计</t>
  </si>
  <si>
    <t>营业实收</t>
  </si>
  <si>
    <t>日均营业额</t>
  </si>
  <si>
    <t>社区店</t>
  </si>
  <si>
    <t>生熟一体</t>
  </si>
  <si>
    <t>占比%</t>
  </si>
  <si>
    <t>近6个月营业实收</t>
  </si>
  <si>
    <t>9月</t>
  </si>
  <si>
    <t>10月</t>
  </si>
  <si>
    <t>11月</t>
  </si>
  <si>
    <t>12月</t>
  </si>
  <si>
    <t>1月</t>
  </si>
  <si>
    <t>2月</t>
  </si>
  <si>
    <t>近6个月营业利润</t>
  </si>
  <si>
    <t>门店现状分析&amp;机会点</t>
  </si>
  <si>
    <t>维度</t>
  </si>
  <si>
    <t>占比</t>
  </si>
  <si>
    <t>营业现状</t>
  </si>
  <si>
    <t>单量</t>
  </si>
  <si>
    <t>客单</t>
  </si>
  <si>
    <t>机会点</t>
  </si>
  <si>
    <t>线下</t>
  </si>
  <si>
    <t>生鲜占比43%，熟食占比57%</t>
  </si>
  <si>
    <t>总单量：1233，环比下降-0.24%
生鲜TC：881，环比增长+3.6%
AC：23.3，环比增长-3.7%
熟食TC：352，环比下降-7.3%
AC：21.2，环比下降-7.0%</t>
  </si>
  <si>
    <t>现数据显示门店整体线下单量基本持平没有出现下滑情况，线下实收下降主要体现在客单价的下降，整体客单下降1.1元。熟食的单量引流和客单提升可作为一个突破口</t>
  </si>
  <si>
    <t>外卖</t>
  </si>
  <si>
    <t>美团占比38%，饿了么占比24%，</t>
  </si>
  <si>
    <t>美团1464单，环比下降-32.2%；
饿了521单，环比-64.7%；</t>
  </si>
  <si>
    <t>外卖平台渠道环比下降幅度较大，日均下滑55单，午高峰时段下降22单.单量的增加可作为突破口</t>
  </si>
  <si>
    <t>团购</t>
  </si>
  <si>
    <t>其中抖音占比%，点评占比%</t>
  </si>
  <si>
    <t>抖音263单，单量环比增长+23.5%；
大众214单，单量环比-38.7%</t>
  </si>
  <si>
    <t>团购平台单量未有大的变化</t>
  </si>
  <si>
    <t>二、业绩提升措施</t>
  </si>
  <si>
    <t>渠道</t>
  </si>
  <si>
    <t>计划动作</t>
  </si>
  <si>
    <t>资源投入</t>
  </si>
  <si>
    <t>投入金额</t>
  </si>
  <si>
    <t>预计产出</t>
  </si>
  <si>
    <t>预计效果</t>
  </si>
  <si>
    <t>ROI</t>
  </si>
  <si>
    <t>盈利目标</t>
  </si>
  <si>
    <t>起止时间</t>
  </si>
  <si>
    <t>责任人</t>
  </si>
  <si>
    <t>跟踪人</t>
  </si>
  <si>
    <t>生鲜</t>
  </si>
  <si>
    <t>1.到店消费熟食客流的引流
动作：（1）执行现阶段线下营销的套餐组合，检查更新堂食扫码点餐物料，引导客人小程序点餐，提升套餐的点单率来提升熟食客单价
（2）社群每日发送套餐信息
（3）社群每日1元红包抢购，前三名到店熟食消费免费送时蔬</t>
  </si>
  <si>
    <t>/</t>
  </si>
  <si>
    <t>增涨1000元实收</t>
  </si>
  <si>
    <t>待定</t>
  </si>
  <si>
    <t>周成</t>
  </si>
  <si>
    <t>陈悦</t>
  </si>
  <si>
    <t>熟食</t>
  </si>
  <si>
    <t>美团外卖</t>
  </si>
  <si>
    <t>增加投流，并保证单均不低于15元实收</t>
  </si>
  <si>
    <t>实际单量基础上增长5-6单每日</t>
  </si>
  <si>
    <t>增长2475元实收，利润866元</t>
  </si>
  <si>
    <t>郑棉涛</t>
  </si>
  <si>
    <t>饿了么外卖</t>
  </si>
  <si>
    <t>京东外卖</t>
  </si>
  <si>
    <t>大众点评</t>
  </si>
  <si>
    <t>抖音</t>
  </si>
  <si>
    <t>项目总合计</t>
  </si>
  <si>
    <t>三、最终结论</t>
  </si>
  <si>
    <t>1.线下利用社区群的宣传发布套餐信息和红包抢购引流到店提升熟食单量和客单价
2.线上外卖渠道增加投流，在原基础上增加单量</t>
  </si>
  <si>
    <t>本阶段计划总投入约1500元，预计带动门店额外实收2475元。</t>
  </si>
  <si>
    <t>提报人：</t>
  </si>
  <si>
    <t>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</si>
</sst>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10">
    <font>
      <sz val="12"/>
      <color theme="1"/>
      <name val="等线"/>
      <family val="2"/>
      <charset val="134"/>
      <scheme val="minor"/>
    </font>
    <font>
      <b/>
      <sz val="20"/>
      <color theme="1"/>
      <name val="等线"/>
      <family val="4"/>
      <charset val="134"/>
    </font>
    <font>
      <sz val="9"/>
      <name val="等线"/>
      <family val="2"/>
      <charset val="134"/>
      <scheme val="minor"/>
    </font>
    <font>
      <sz val="11"/>
      <color theme="1"/>
      <name val="等线"/>
      <family val="4"/>
      <charset val="134"/>
    </font>
    <font>
      <b/>
      <sz val="12"/>
      <name val="等线"/>
      <family val="4"/>
      <charset val="134"/>
    </font>
    <font>
      <b/>
      <sz val="11"/>
      <name val="等线"/>
      <family val="4"/>
      <charset val="134"/>
    </font>
    <font>
      <b/>
      <sz val="12"/>
      <color theme="1"/>
      <name val="等线"/>
      <family val="4"/>
      <charset val="134"/>
    </font>
    <font>
      <b/>
      <sz val="11"/>
      <color theme="1"/>
      <name val="等线"/>
      <family val="4"/>
      <charset val="134"/>
    </font>
    <font>
      <sz val="9"/>
      <color theme="1"/>
      <name val="等线"/>
      <family val="4"/>
      <charset val="134"/>
    </font>
    <font>
      <sz val="12"/>
      <color theme="1"/>
      <name val="等线"/>
      <family val="4"/>
      <charset val="134"/>
    </font>
  </fonts>
  <fills count="4">
    <fill>
      <patternFill patternType="none"/>
    </fill>
    <fill>
      <patternFill patternType="gray125"/>
    </fill>
    <fill>
      <patternFill patternType="solid">
        <fgColor theme="6" tint="0.79998168889431442"/>
        <bgColor indexed="64"/>
      </patternFill>
    </fill>
    <fill>
      <patternFill patternType="solid">
        <fgColor rgb="FFFEF9D3"/>
        <bgColor indexed="64"/>
      </patternFill>
    </fill>
  </fills>
  <borders count="9">
    <border>
      <left/>
      <right/>
      <top/>
      <bottom/>
      <diagonal/>
    </border>
    <border>
      <left style="dashDotDot">
        <color theme="1" tint="0.499984740745262"/>
      </left>
      <right style="dashDotDot">
        <color theme="1" tint="0.499984740745262"/>
      </right>
      <top style="dashDotDot">
        <color theme="1" tint="0.499984740745262"/>
      </top>
      <bottom style="dashDotDot">
        <color theme="1"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65">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3" fillId="0" borderId="0" xfId="0" applyFont="1" applyAlignment="1">
      <alignment horizontal="center" vertical="center"/>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4" fillId="3" borderId="2" xfId="0" applyFont="1" applyFill="1" applyBorder="1" applyAlignment="1">
      <alignment horizontal="center" vertical="center"/>
    </xf>
    <xf numFmtId="0" fontId="3" fillId="0" borderId="0" xfId="0" applyFont="1" applyAlignment="1">
      <alignment horizontal="left"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2" xfId="0" applyFont="1" applyFill="1" applyBorder="1" applyAlignment="1">
      <alignment horizontal="center" vertical="center"/>
    </xf>
    <xf numFmtId="0" fontId="3" fillId="0" borderId="2" xfId="0" applyFont="1" applyBorder="1" applyAlignment="1">
      <alignment horizontal="center" vertical="center"/>
    </xf>
    <xf numFmtId="176" fontId="3" fillId="0" borderId="2" xfId="0" applyNumberFormat="1" applyFont="1" applyBorder="1" applyAlignment="1">
      <alignment horizontal="center" vertical="center"/>
    </xf>
    <xf numFmtId="176" fontId="3" fillId="0" borderId="6" xfId="0" applyNumberFormat="1" applyFont="1" applyBorder="1" applyAlignment="1">
      <alignment horizontal="center" vertical="center"/>
    </xf>
    <xf numFmtId="0" fontId="3" fillId="0" borderId="6"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10" fontId="3" fillId="0" borderId="2" xfId="0" applyNumberFormat="1" applyFont="1" applyBorder="1" applyAlignment="1">
      <alignment horizontal="center" vertical="center"/>
    </xf>
    <xf numFmtId="176" fontId="3" fillId="0" borderId="7" xfId="0" applyNumberFormat="1" applyFont="1" applyBorder="1" applyAlignment="1">
      <alignment horizontal="center" vertical="center"/>
    </xf>
    <xf numFmtId="0" fontId="3" fillId="0" borderId="7" xfId="0" applyFont="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176" fontId="3" fillId="0" borderId="6" xfId="0" applyNumberFormat="1" applyFont="1" applyBorder="1" applyAlignment="1">
      <alignment horizontal="center" vertical="center"/>
    </xf>
    <xf numFmtId="0" fontId="3" fillId="0" borderId="6" xfId="0" applyFont="1" applyBorder="1" applyAlignment="1">
      <alignment horizontal="center" vertical="center"/>
    </xf>
    <xf numFmtId="0" fontId="6"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xf>
    <xf numFmtId="10" fontId="8" fillId="0" borderId="2" xfId="0" applyNumberFormat="1" applyFont="1" applyBorder="1" applyAlignment="1">
      <alignment horizontal="center" vertical="center" wrapText="1"/>
    </xf>
    <xf numFmtId="0" fontId="8" fillId="0" borderId="5" xfId="0" applyFont="1" applyBorder="1" applyAlignment="1">
      <alignment vertical="center" wrapText="1"/>
    </xf>
    <xf numFmtId="0" fontId="8" fillId="0" borderId="2" xfId="0" applyFont="1" applyBorder="1" applyAlignment="1">
      <alignment horizontal="left" vertical="center" wrapText="1"/>
    </xf>
    <xf numFmtId="177" fontId="8" fillId="0" borderId="2" xfId="0" applyNumberFormat="1" applyFont="1" applyBorder="1" applyAlignment="1">
      <alignment horizontal="center" vertical="center"/>
    </xf>
    <xf numFmtId="0" fontId="8" fillId="0" borderId="3"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9" fontId="8" fillId="0" borderId="2" xfId="0" applyNumberFormat="1" applyFont="1" applyBorder="1" applyAlignment="1">
      <alignment horizontal="center"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3" xfId="0" applyFont="1" applyBorder="1" applyAlignment="1">
      <alignment horizontal="left" vertical="center"/>
    </xf>
    <xf numFmtId="0" fontId="8" fillId="0" borderId="2" xfId="0" applyFont="1" applyBorder="1" applyAlignment="1">
      <alignment horizontal="center" vertical="center"/>
    </xf>
    <xf numFmtId="0" fontId="8" fillId="0" borderId="5" xfId="0" applyFont="1" applyBorder="1">
      <alignmen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7" fillId="0" borderId="0" xfId="0" applyFont="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left" vertical="center" wrapText="1"/>
    </xf>
    <xf numFmtId="0" fontId="3" fillId="0" borderId="6" xfId="0" applyFont="1" applyBorder="1" applyAlignment="1">
      <alignment horizontal="center" vertical="center" wrapText="1"/>
    </xf>
    <xf numFmtId="0" fontId="3" fillId="0" borderId="7" xfId="0" applyFont="1" applyBorder="1" applyAlignment="1">
      <alignment horizontal="left" vertical="center"/>
    </xf>
    <xf numFmtId="0" fontId="3" fillId="0" borderId="7" xfId="0" applyFont="1" applyBorder="1" applyAlignment="1">
      <alignment horizontal="center" vertical="center" wrapText="1"/>
    </xf>
    <xf numFmtId="0" fontId="3" fillId="0" borderId="0" xfId="0" applyFont="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3" fillId="0" borderId="0" xfId="0" applyFont="1" applyAlignment="1">
      <alignment horizontal="left" vertical="center"/>
    </xf>
    <xf numFmtId="0" fontId="9"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964B7-98D6-C944-A294-C49FE8DB3570}">
  <dimension ref="A1:N43"/>
  <sheetViews>
    <sheetView tabSelected="1" workbookViewId="0">
      <selection sqref="A1:XFD1048576"/>
    </sheetView>
  </sheetViews>
  <sheetFormatPr baseColWidth="10" defaultColWidth="9" defaultRowHeight="15"/>
  <cols>
    <col min="1" max="1" width="18" style="3" customWidth="1"/>
    <col min="2" max="2" width="12.1640625" style="3" customWidth="1"/>
    <col min="3" max="3" width="35.33203125" style="3" customWidth="1"/>
    <col min="4" max="10" width="11" style="3" customWidth="1"/>
    <col min="11" max="12" width="16.5" style="3" customWidth="1"/>
    <col min="13" max="13" width="12" style="3" customWidth="1"/>
    <col min="14" max="14" width="15.6640625" style="3" customWidth="1"/>
    <col min="15" max="16384" width="9" style="3"/>
  </cols>
  <sheetData>
    <row r="1" spans="1:14" ht="26">
      <c r="A1" s="1" t="s">
        <v>0</v>
      </c>
      <c r="B1" s="1"/>
      <c r="C1" s="1"/>
      <c r="D1" s="1"/>
      <c r="E1" s="1"/>
      <c r="F1" s="1"/>
      <c r="G1" s="2"/>
    </row>
    <row r="2" spans="1:14" s="6" customFormat="1" ht="16">
      <c r="A2" s="4" t="s">
        <v>1</v>
      </c>
      <c r="B2" s="5" t="s">
        <v>2</v>
      </c>
      <c r="C2" s="5"/>
      <c r="D2" s="5"/>
      <c r="E2" s="5"/>
      <c r="F2" s="5"/>
    </row>
    <row r="3" spans="1:14" s="6" customFormat="1" ht="16">
      <c r="A3" s="4" t="s">
        <v>3</v>
      </c>
      <c r="B3" s="5"/>
      <c r="C3" s="5"/>
      <c r="D3" s="5"/>
      <c r="E3" s="5"/>
      <c r="F3" s="5"/>
    </row>
    <row r="4" spans="1:14" s="6" customFormat="1" ht="16">
      <c r="A4" s="4" t="s">
        <v>4</v>
      </c>
      <c r="B4" s="5" t="s">
        <v>5</v>
      </c>
      <c r="C4" s="5"/>
      <c r="D4" s="5"/>
      <c r="E4" s="5"/>
      <c r="F4" s="5"/>
    </row>
    <row r="5" spans="1:14" s="6" customFormat="1" ht="16">
      <c r="A5" s="4" t="s">
        <v>6</v>
      </c>
      <c r="B5" s="5" t="s">
        <v>7</v>
      </c>
      <c r="C5" s="5"/>
      <c r="D5" s="5"/>
      <c r="E5" s="5"/>
      <c r="F5" s="5"/>
    </row>
    <row r="7" spans="1:14" s="8" customFormat="1" ht="16">
      <c r="A7" s="7" t="s">
        <v>8</v>
      </c>
    </row>
    <row r="8" spans="1:14" s="10" customFormat="1" ht="16">
      <c r="A8" s="9" t="s">
        <v>9</v>
      </c>
      <c r="B8" s="9"/>
      <c r="C8" s="9"/>
      <c r="D8" s="9"/>
      <c r="E8" s="9"/>
      <c r="F8" s="9"/>
      <c r="G8" s="9"/>
      <c r="H8" s="9"/>
      <c r="I8" s="9"/>
      <c r="J8" s="9"/>
      <c r="K8" s="9"/>
      <c r="L8" s="9"/>
      <c r="M8" s="9"/>
      <c r="N8" s="9"/>
    </row>
    <row r="9" spans="1:14">
      <c r="A9" s="11" t="s">
        <v>10</v>
      </c>
      <c r="B9" s="11" t="s">
        <v>11</v>
      </c>
      <c r="C9" s="11" t="s">
        <v>12</v>
      </c>
      <c r="D9" s="12" t="s">
        <v>13</v>
      </c>
      <c r="E9" s="13"/>
      <c r="F9" s="13"/>
      <c r="G9" s="13"/>
      <c r="H9" s="13"/>
      <c r="I9" s="13"/>
      <c r="J9" s="14"/>
      <c r="K9" s="12" t="s">
        <v>14</v>
      </c>
      <c r="L9" s="14"/>
      <c r="M9" s="11" t="s">
        <v>15</v>
      </c>
      <c r="N9" s="11" t="s">
        <v>16</v>
      </c>
    </row>
    <row r="10" spans="1:14">
      <c r="A10" s="11"/>
      <c r="B10" s="11"/>
      <c r="C10" s="11"/>
      <c r="D10" s="15" t="s">
        <v>17</v>
      </c>
      <c r="E10" s="15" t="s">
        <v>18</v>
      </c>
      <c r="F10" s="15" t="s">
        <v>19</v>
      </c>
      <c r="G10" s="15" t="s">
        <v>20</v>
      </c>
      <c r="H10" s="15" t="s">
        <v>21</v>
      </c>
      <c r="I10" s="15" t="s">
        <v>22</v>
      </c>
      <c r="J10" s="15" t="s">
        <v>23</v>
      </c>
      <c r="K10" s="15" t="s">
        <v>24</v>
      </c>
      <c r="L10" s="15" t="s">
        <v>25</v>
      </c>
      <c r="M10" s="11"/>
      <c r="N10" s="11"/>
    </row>
    <row r="11" spans="1:14">
      <c r="A11" s="16" t="s">
        <v>26</v>
      </c>
      <c r="B11" s="16" t="s">
        <v>27</v>
      </c>
      <c r="C11" s="16" t="s">
        <v>2</v>
      </c>
      <c r="D11" s="16">
        <v>11000</v>
      </c>
      <c r="E11" s="16">
        <v>20000</v>
      </c>
      <c r="F11" s="16">
        <v>3500</v>
      </c>
      <c r="G11" s="17">
        <f>M11*G12</f>
        <v>47880.000000000007</v>
      </c>
      <c r="H11" s="16">
        <v>2600</v>
      </c>
      <c r="I11" s="16">
        <v>450</v>
      </c>
      <c r="J11" s="17">
        <f>SUM(D11:I11)</f>
        <v>85430</v>
      </c>
      <c r="K11" s="18">
        <v>81000</v>
      </c>
      <c r="L11" s="18">
        <f>K11/31</f>
        <v>2612.9032258064517</v>
      </c>
      <c r="M11" s="19">
        <v>85500</v>
      </c>
      <c r="N11" s="18">
        <f>M11/30</f>
        <v>2850</v>
      </c>
    </row>
    <row r="12" spans="1:14" customFormat="1" ht="16">
      <c r="A12" s="20" t="s">
        <v>28</v>
      </c>
      <c r="B12" s="21"/>
      <c r="C12" s="22"/>
      <c r="D12" s="23">
        <f t="shared" ref="D12:F12" si="0">D11/$K$11</f>
        <v>0.13580246913580246</v>
      </c>
      <c r="E12" s="23">
        <f t="shared" si="0"/>
        <v>0.24691358024691357</v>
      </c>
      <c r="F12" s="23">
        <f t="shared" si="0"/>
        <v>4.3209876543209874E-2</v>
      </c>
      <c r="G12" s="23">
        <v>0.56000000000000005</v>
      </c>
      <c r="H12" s="23">
        <f>H11/$K$11</f>
        <v>3.2098765432098768E-2</v>
      </c>
      <c r="I12" s="23">
        <f>I11/$K$11</f>
        <v>5.5555555555555558E-3</v>
      </c>
      <c r="J12" s="17"/>
      <c r="K12" s="24"/>
      <c r="L12" s="24"/>
      <c r="M12" s="25"/>
      <c r="N12" s="24"/>
    </row>
    <row r="13" spans="1:14" customFormat="1" ht="16">
      <c r="A13" s="26" t="s">
        <v>29</v>
      </c>
      <c r="B13" s="27"/>
      <c r="C13" s="27"/>
      <c r="D13" s="27"/>
      <c r="E13" s="27"/>
      <c r="F13" s="27"/>
      <c r="G13" s="27"/>
      <c r="H13" s="27"/>
      <c r="I13" s="27"/>
      <c r="J13" s="28"/>
      <c r="K13" s="29"/>
      <c r="L13" s="29"/>
      <c r="M13" s="30"/>
      <c r="N13" s="29"/>
    </row>
    <row r="14" spans="1:14" customFormat="1" ht="16">
      <c r="A14" s="16" t="s">
        <v>10</v>
      </c>
      <c r="B14" s="16" t="s">
        <v>11</v>
      </c>
      <c r="C14" s="16" t="s">
        <v>12</v>
      </c>
      <c r="D14" s="16" t="s">
        <v>30</v>
      </c>
      <c r="E14" s="16" t="s">
        <v>31</v>
      </c>
      <c r="F14" s="16" t="s">
        <v>32</v>
      </c>
      <c r="G14" s="16" t="s">
        <v>33</v>
      </c>
      <c r="H14" s="16" t="s">
        <v>34</v>
      </c>
      <c r="I14" s="16" t="s">
        <v>35</v>
      </c>
      <c r="J14" s="17"/>
      <c r="K14" s="29"/>
      <c r="L14" s="29"/>
      <c r="M14" s="30"/>
      <c r="N14" s="29"/>
    </row>
    <row r="15" spans="1:14" customFormat="1" ht="16">
      <c r="A15" s="16" t="s">
        <v>26</v>
      </c>
      <c r="B15" s="16" t="s">
        <v>27</v>
      </c>
      <c r="C15" s="16" t="s">
        <v>2</v>
      </c>
      <c r="D15" s="16">
        <v>89674</v>
      </c>
      <c r="E15" s="16">
        <v>87643</v>
      </c>
      <c r="F15" s="16">
        <v>84732</v>
      </c>
      <c r="G15" s="17">
        <v>99037</v>
      </c>
      <c r="H15" s="16">
        <v>84176</v>
      </c>
      <c r="I15" s="16">
        <v>75416</v>
      </c>
      <c r="J15" s="17"/>
      <c r="K15" s="29"/>
      <c r="L15" s="29"/>
      <c r="M15" s="30"/>
      <c r="N15" s="29"/>
    </row>
    <row r="16" spans="1:14" customFormat="1" ht="16">
      <c r="A16" s="26" t="s">
        <v>36</v>
      </c>
      <c r="B16" s="27"/>
      <c r="C16" s="27"/>
      <c r="D16" s="27"/>
      <c r="E16" s="27"/>
      <c r="F16" s="27"/>
      <c r="G16" s="27"/>
      <c r="H16" s="27"/>
      <c r="I16" s="27"/>
      <c r="J16" s="28"/>
      <c r="K16" s="29"/>
      <c r="L16" s="29"/>
      <c r="M16" s="30"/>
      <c r="N16" s="29"/>
    </row>
    <row r="17" spans="1:14" customFormat="1" ht="16">
      <c r="A17" s="16" t="s">
        <v>10</v>
      </c>
      <c r="B17" s="16" t="s">
        <v>11</v>
      </c>
      <c r="C17" s="16" t="s">
        <v>12</v>
      </c>
      <c r="D17" s="16" t="s">
        <v>30</v>
      </c>
      <c r="E17" s="16" t="s">
        <v>31</v>
      </c>
      <c r="F17" s="16" t="s">
        <v>32</v>
      </c>
      <c r="G17" s="16" t="s">
        <v>33</v>
      </c>
      <c r="H17" s="16" t="s">
        <v>34</v>
      </c>
      <c r="I17" s="16" t="s">
        <v>35</v>
      </c>
      <c r="J17" s="17"/>
      <c r="K17" s="17"/>
      <c r="L17" s="17"/>
      <c r="M17" s="16"/>
      <c r="N17" s="17"/>
    </row>
    <row r="18" spans="1:14" customFormat="1" ht="16">
      <c r="A18" s="16" t="s">
        <v>26</v>
      </c>
      <c r="B18" s="16" t="s">
        <v>27</v>
      </c>
      <c r="C18" s="16" t="s">
        <v>2</v>
      </c>
      <c r="D18" s="16">
        <v>-4659</v>
      </c>
      <c r="E18" s="16">
        <v>-4515</v>
      </c>
      <c r="F18" s="16">
        <v>-6324</v>
      </c>
      <c r="G18" s="17">
        <v>561</v>
      </c>
      <c r="H18" s="16">
        <v>-2398</v>
      </c>
      <c r="I18" s="16">
        <v>-1741</v>
      </c>
      <c r="J18" s="17"/>
      <c r="K18" s="17"/>
      <c r="L18" s="17"/>
      <c r="M18" s="16"/>
      <c r="N18" s="17"/>
    </row>
    <row r="20" spans="1:14" ht="16">
      <c r="A20" s="31" t="s">
        <v>37</v>
      </c>
      <c r="B20" s="31"/>
      <c r="C20" s="31"/>
      <c r="D20" s="31"/>
      <c r="E20" s="31"/>
      <c r="F20" s="31"/>
      <c r="G20" s="31"/>
      <c r="H20" s="31"/>
      <c r="I20" s="31"/>
      <c r="J20" s="31"/>
      <c r="K20" s="31"/>
      <c r="L20" s="31"/>
      <c r="M20" s="31"/>
    </row>
    <row r="21" spans="1:14">
      <c r="A21" s="32" t="s">
        <v>38</v>
      </c>
      <c r="B21" s="32" t="s">
        <v>39</v>
      </c>
      <c r="C21" s="32" t="s">
        <v>40</v>
      </c>
      <c r="D21" s="33" t="s">
        <v>41</v>
      </c>
      <c r="E21" s="33"/>
      <c r="F21" s="33"/>
      <c r="G21" s="32" t="s">
        <v>42</v>
      </c>
      <c r="H21" s="26" t="s">
        <v>43</v>
      </c>
      <c r="I21" s="27"/>
      <c r="J21" s="27"/>
      <c r="K21" s="27"/>
      <c r="L21" s="27"/>
      <c r="M21" s="28"/>
    </row>
    <row r="22" spans="1:14">
      <c r="A22" s="16" t="s">
        <v>44</v>
      </c>
      <c r="B22" s="34">
        <v>0.33229999999999998</v>
      </c>
      <c r="C22" s="35" t="s">
        <v>45</v>
      </c>
      <c r="D22" s="36" t="s">
        <v>46</v>
      </c>
      <c r="E22" s="36"/>
      <c r="F22" s="36"/>
      <c r="G22" s="37">
        <v>22.9</v>
      </c>
      <c r="H22" s="38" t="s">
        <v>47</v>
      </c>
      <c r="I22" s="39"/>
      <c r="J22" s="39"/>
      <c r="K22" s="39"/>
      <c r="L22" s="39"/>
      <c r="M22" s="40"/>
    </row>
    <row r="23" spans="1:14">
      <c r="A23" s="16" t="s">
        <v>48</v>
      </c>
      <c r="B23" s="41">
        <v>0.56999999999999995</v>
      </c>
      <c r="C23" s="35" t="s">
        <v>49</v>
      </c>
      <c r="D23" s="36" t="s">
        <v>50</v>
      </c>
      <c r="E23" s="36"/>
      <c r="F23" s="36"/>
      <c r="G23" s="37">
        <v>14.7</v>
      </c>
      <c r="H23" s="38" t="s">
        <v>51</v>
      </c>
      <c r="I23" s="42"/>
      <c r="J23" s="42"/>
      <c r="K23" s="42"/>
      <c r="L23" s="42"/>
      <c r="M23" s="43"/>
    </row>
    <row r="24" spans="1:14">
      <c r="A24" s="16" t="s">
        <v>52</v>
      </c>
      <c r="B24" s="41">
        <v>0.09</v>
      </c>
      <c r="C24" s="35" t="s">
        <v>53</v>
      </c>
      <c r="D24" s="36" t="s">
        <v>54</v>
      </c>
      <c r="E24" s="36"/>
      <c r="F24" s="36"/>
      <c r="G24" s="37">
        <v>13.8</v>
      </c>
      <c r="H24" s="44" t="s">
        <v>55</v>
      </c>
      <c r="I24" s="39"/>
      <c r="J24" s="39"/>
      <c r="K24" s="39"/>
      <c r="L24" s="39"/>
      <c r="M24" s="40"/>
    </row>
    <row r="25" spans="1:14">
      <c r="A25" s="16" t="s">
        <v>21</v>
      </c>
      <c r="B25" s="45"/>
      <c r="C25" s="46"/>
      <c r="D25" s="36"/>
      <c r="E25" s="36"/>
      <c r="F25" s="36"/>
      <c r="G25" s="45"/>
      <c r="H25" s="47"/>
      <c r="I25" s="48"/>
      <c r="J25" s="48"/>
      <c r="K25" s="48"/>
      <c r="L25" s="48"/>
      <c r="M25" s="49"/>
    </row>
    <row r="27" spans="1:14" s="50" customFormat="1" ht="16">
      <c r="A27" s="7" t="s">
        <v>56</v>
      </c>
    </row>
    <row r="28" spans="1:14" s="50" customFormat="1">
      <c r="A28" s="32" t="s">
        <v>38</v>
      </c>
      <c r="B28" s="32" t="s">
        <v>57</v>
      </c>
      <c r="C28" s="32" t="s">
        <v>58</v>
      </c>
      <c r="D28" s="32" t="s">
        <v>59</v>
      </c>
      <c r="E28" s="32" t="s">
        <v>60</v>
      </c>
      <c r="F28" s="32" t="s">
        <v>61</v>
      </c>
      <c r="G28" s="32" t="s">
        <v>62</v>
      </c>
      <c r="H28" s="32" t="s">
        <v>63</v>
      </c>
      <c r="I28" s="32" t="s">
        <v>64</v>
      </c>
      <c r="J28" s="32" t="s">
        <v>65</v>
      </c>
      <c r="K28" s="32" t="s">
        <v>66</v>
      </c>
      <c r="L28" s="32" t="s">
        <v>67</v>
      </c>
    </row>
    <row r="29" spans="1:14">
      <c r="A29" s="51" t="s">
        <v>44</v>
      </c>
      <c r="B29" s="16" t="s">
        <v>68</v>
      </c>
      <c r="C29" s="52" t="s">
        <v>69</v>
      </c>
      <c r="D29" s="16" t="s">
        <v>70</v>
      </c>
      <c r="E29" s="16" t="s">
        <v>70</v>
      </c>
      <c r="F29" s="16" t="s">
        <v>70</v>
      </c>
      <c r="G29" s="16" t="s">
        <v>70</v>
      </c>
      <c r="H29" s="16" t="s">
        <v>70</v>
      </c>
      <c r="I29" s="53" t="s">
        <v>71</v>
      </c>
      <c r="J29" s="16" t="s">
        <v>72</v>
      </c>
      <c r="K29" s="16" t="s">
        <v>73</v>
      </c>
      <c r="L29" s="16" t="s">
        <v>74</v>
      </c>
    </row>
    <row r="30" spans="1:14">
      <c r="A30" s="51"/>
      <c r="B30" s="16" t="s">
        <v>75</v>
      </c>
      <c r="C30" s="54"/>
      <c r="D30" s="16" t="s">
        <v>70</v>
      </c>
      <c r="E30" s="16" t="s">
        <v>70</v>
      </c>
      <c r="F30" s="16" t="s">
        <v>70</v>
      </c>
      <c r="G30" s="16" t="s">
        <v>70</v>
      </c>
      <c r="H30" s="16" t="s">
        <v>70</v>
      </c>
      <c r="I30" s="55"/>
      <c r="J30" s="16" t="s">
        <v>72</v>
      </c>
      <c r="K30" s="16" t="s">
        <v>73</v>
      </c>
      <c r="L30" s="16" t="s">
        <v>74</v>
      </c>
    </row>
    <row r="31" spans="1:14">
      <c r="A31" s="51" t="s">
        <v>48</v>
      </c>
      <c r="B31" s="16" t="s">
        <v>76</v>
      </c>
      <c r="C31" s="52" t="s">
        <v>77</v>
      </c>
      <c r="D31" s="19" t="s">
        <v>70</v>
      </c>
      <c r="E31" s="19">
        <v>1500</v>
      </c>
      <c r="F31" s="19">
        <f>E31*H31</f>
        <v>8400</v>
      </c>
      <c r="G31" s="53" t="s">
        <v>78</v>
      </c>
      <c r="H31" s="19">
        <v>5.6</v>
      </c>
      <c r="I31" s="53" t="s">
        <v>79</v>
      </c>
      <c r="J31" s="19" t="s">
        <v>72</v>
      </c>
      <c r="K31" s="19" t="s">
        <v>80</v>
      </c>
      <c r="L31" s="51" t="s">
        <v>74</v>
      </c>
      <c r="M31" s="56"/>
    </row>
    <row r="32" spans="1:14">
      <c r="A32" s="51"/>
      <c r="B32" s="16" t="s">
        <v>81</v>
      </c>
      <c r="C32" s="57"/>
      <c r="D32" s="58"/>
      <c r="E32" s="58"/>
      <c r="F32" s="58"/>
      <c r="G32" s="59"/>
      <c r="H32" s="58"/>
      <c r="I32" s="59"/>
      <c r="J32" s="58"/>
      <c r="K32" s="58"/>
      <c r="L32" s="51"/>
      <c r="M32" s="56"/>
    </row>
    <row r="33" spans="1:13">
      <c r="A33" s="51"/>
      <c r="B33" s="16" t="s">
        <v>82</v>
      </c>
      <c r="C33" s="60"/>
      <c r="D33" s="25"/>
      <c r="E33" s="25"/>
      <c r="F33" s="25"/>
      <c r="G33" s="55"/>
      <c r="H33" s="25"/>
      <c r="I33" s="55"/>
      <c r="J33" s="25"/>
      <c r="K33" s="25"/>
      <c r="L33" s="51"/>
      <c r="M33" s="56"/>
    </row>
    <row r="34" spans="1:13">
      <c r="A34" s="51" t="s">
        <v>52</v>
      </c>
      <c r="B34" s="16" t="s">
        <v>83</v>
      </c>
      <c r="C34" s="16" t="s">
        <v>70</v>
      </c>
      <c r="D34" s="16" t="s">
        <v>70</v>
      </c>
      <c r="E34" s="16" t="s">
        <v>70</v>
      </c>
      <c r="F34" s="16" t="s">
        <v>70</v>
      </c>
      <c r="G34" s="16" t="s">
        <v>70</v>
      </c>
      <c r="H34" s="16" t="s">
        <v>70</v>
      </c>
      <c r="I34" s="16" t="s">
        <v>70</v>
      </c>
      <c r="J34" s="16" t="s">
        <v>70</v>
      </c>
      <c r="K34" s="16" t="s">
        <v>70</v>
      </c>
      <c r="L34" s="16" t="s">
        <v>70</v>
      </c>
    </row>
    <row r="35" spans="1:13">
      <c r="A35" s="51"/>
      <c r="B35" s="16" t="s">
        <v>84</v>
      </c>
      <c r="C35" s="16" t="s">
        <v>70</v>
      </c>
      <c r="D35" s="16" t="s">
        <v>70</v>
      </c>
      <c r="E35" s="16" t="s">
        <v>70</v>
      </c>
      <c r="F35" s="16" t="s">
        <v>70</v>
      </c>
      <c r="G35" s="16" t="s">
        <v>70</v>
      </c>
      <c r="H35" s="16" t="s">
        <v>70</v>
      </c>
      <c r="I35" s="16" t="s">
        <v>70</v>
      </c>
      <c r="J35" s="16" t="s">
        <v>70</v>
      </c>
      <c r="K35" s="16" t="s">
        <v>70</v>
      </c>
      <c r="L35" s="16" t="s">
        <v>70</v>
      </c>
    </row>
    <row r="36" spans="1:13">
      <c r="A36" s="26" t="s">
        <v>85</v>
      </c>
      <c r="B36" s="28"/>
      <c r="C36" s="32"/>
      <c r="D36" s="32">
        <f t="shared" ref="D36:G36" si="1">SUM(D29:D35)</f>
        <v>0</v>
      </c>
      <c r="E36" s="32">
        <f t="shared" si="1"/>
        <v>1500</v>
      </c>
      <c r="F36" s="32">
        <f t="shared" si="1"/>
        <v>8400</v>
      </c>
      <c r="G36" s="32">
        <f t="shared" si="1"/>
        <v>0</v>
      </c>
      <c r="H36" s="32"/>
      <c r="I36" s="32"/>
      <c r="J36" s="32"/>
      <c r="K36" s="32"/>
      <c r="L36" s="32"/>
      <c r="M36" s="50"/>
    </row>
    <row r="38" spans="1:13" s="50" customFormat="1" ht="16">
      <c r="A38" s="7" t="s">
        <v>86</v>
      </c>
    </row>
    <row r="39" spans="1:13" s="50" customFormat="1" ht="16">
      <c r="A39" s="61" t="s">
        <v>87</v>
      </c>
      <c r="B39" s="62"/>
      <c r="C39" s="62"/>
      <c r="D39" s="62"/>
      <c r="E39" s="62"/>
      <c r="F39" s="62"/>
      <c r="G39" s="62"/>
      <c r="H39" s="62"/>
      <c r="I39" s="62"/>
      <c r="J39" s="62"/>
      <c r="K39" s="62"/>
      <c r="L39" s="62"/>
    </row>
    <row r="40" spans="1:13" s="10" customFormat="1">
      <c r="A40" s="63" t="s">
        <v>88</v>
      </c>
      <c r="B40" s="63"/>
      <c r="C40" s="63"/>
      <c r="D40" s="63"/>
      <c r="E40" s="63"/>
      <c r="F40" s="63"/>
      <c r="G40" s="63"/>
      <c r="H40" s="63"/>
      <c r="I40" s="63"/>
      <c r="J40" s="63"/>
      <c r="K40" s="63"/>
      <c r="L40" s="63"/>
      <c r="M40" s="63"/>
    </row>
    <row r="41" spans="1:13" s="10" customFormat="1"/>
    <row r="42" spans="1:13" s="10" customFormat="1"/>
    <row r="43" spans="1:13" s="64" customFormat="1" ht="16">
      <c r="C43" s="64" t="s">
        <v>89</v>
      </c>
      <c r="I43" s="64" t="s">
        <v>90</v>
      </c>
    </row>
  </sheetData>
  <mergeCells count="50">
    <mergeCell ref="A36:B36"/>
    <mergeCell ref="A39:L39"/>
    <mergeCell ref="A40:M40"/>
    <mergeCell ref="I31:I33"/>
    <mergeCell ref="J31:J33"/>
    <mergeCell ref="K31:K33"/>
    <mergeCell ref="L31:L33"/>
    <mergeCell ref="M31:M33"/>
    <mergeCell ref="A34:A35"/>
    <mergeCell ref="A29:A30"/>
    <mergeCell ref="C29:C30"/>
    <mergeCell ref="I29:I30"/>
    <mergeCell ref="A31:A33"/>
    <mergeCell ref="C31:C33"/>
    <mergeCell ref="D31:D33"/>
    <mergeCell ref="E31:E33"/>
    <mergeCell ref="F31:F33"/>
    <mergeCell ref="G31:G33"/>
    <mergeCell ref="H31:H33"/>
    <mergeCell ref="D23:F23"/>
    <mergeCell ref="H23:M23"/>
    <mergeCell ref="D24:F24"/>
    <mergeCell ref="H24:M24"/>
    <mergeCell ref="D25:F25"/>
    <mergeCell ref="H25:M25"/>
    <mergeCell ref="A13:J13"/>
    <mergeCell ref="A16:J16"/>
    <mergeCell ref="A20:M20"/>
    <mergeCell ref="D21:F21"/>
    <mergeCell ref="H21:M21"/>
    <mergeCell ref="D22:F22"/>
    <mergeCell ref="H22:M22"/>
    <mergeCell ref="N9:N10"/>
    <mergeCell ref="K11:K12"/>
    <mergeCell ref="L11:L12"/>
    <mergeCell ref="M11:M12"/>
    <mergeCell ref="N11:N12"/>
    <mergeCell ref="A12:C12"/>
    <mergeCell ref="A9:A10"/>
    <mergeCell ref="B9:B10"/>
    <mergeCell ref="C9:C10"/>
    <mergeCell ref="D9:J9"/>
    <mergeCell ref="K9:L9"/>
    <mergeCell ref="M9:M10"/>
    <mergeCell ref="A1:F1"/>
    <mergeCell ref="B2:F2"/>
    <mergeCell ref="B3:F3"/>
    <mergeCell ref="B4:F4"/>
    <mergeCell ref="B5:F5"/>
    <mergeCell ref="A8:N8"/>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zhaoziwei</dc:creator>
  <cp:lastModifiedBy>zhaoziwei</cp:lastModifiedBy>
  <dcterms:created xsi:type="dcterms:W3CDTF">2026-03-20T07:16:06Z</dcterms:created>
  <dcterms:modified xsi:type="dcterms:W3CDTF">2026-03-20T07:16:26Z</dcterms:modified>
</cp:coreProperties>
</file>